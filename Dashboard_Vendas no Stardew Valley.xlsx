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media/image14.png" ContentType="image/png"/>
  <Override PartName="/xl/media/image15.png" ContentType="image/png"/>
  <Override PartName="/xl/media/image20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2"/>
    <sheet name="Bases" sheetId="2" state="hidden" r:id="rId3"/>
    <sheet name="Tabela dinâmica_Bases" sheetId="3" state="hidden" r:id="rId4"/>
    <sheet name="Assets" sheetId="4" state="hidden" r:id="rId5"/>
    <sheet name="Cálculos" sheetId="5" state="hidden" r:id="rId6"/>
  </sheets>
  <calcPr iterateCount="100" refMode="A1" iterate="false" iterateDelta="0.001"/>
  <pivotCaches>
    <pivotCache cacheId="1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<sst xmlns="http://schemas.openxmlformats.org/spreadsheetml/2006/main" count="56" uniqueCount="35">
  <si>
    <t xml:space="preserve">Primavera </t>
  </si>
  <si>
    <t xml:space="preserve">Verão</t>
  </si>
  <si>
    <t xml:space="preserve">Outono</t>
  </si>
  <si>
    <t xml:space="preserve">Inverno</t>
  </si>
  <si>
    <t xml:space="preserve">Primavera</t>
  </si>
  <si>
    <t xml:space="preserve"> Outono</t>
  </si>
  <si>
    <t xml:space="preserve">R$ Venda</t>
  </si>
  <si>
    <t xml:space="preserve">Quantidade</t>
  </si>
  <si>
    <t xml:space="preserve">Total</t>
  </si>
  <si>
    <t xml:space="preserve">Chirívia</t>
  </si>
  <si>
    <t xml:space="preserve">Melão</t>
  </si>
  <si>
    <t xml:space="preserve">Alcachofra</t>
  </si>
  <si>
    <t xml:space="preserve">Melão-poeiro</t>
  </si>
  <si>
    <t xml:space="preserve">Couve-flor</t>
  </si>
  <si>
    <t xml:space="preserve">Rabanete</t>
  </si>
  <si>
    <t xml:space="preserve">Beterraba</t>
  </si>
  <si>
    <t xml:space="preserve">Raiz de Inverno</t>
  </si>
  <si>
    <t xml:space="preserve">Couve</t>
  </si>
  <si>
    <t xml:space="preserve">Trigo</t>
  </si>
  <si>
    <t xml:space="preserve">Couve chinesa</t>
  </si>
  <si>
    <t xml:space="preserve">Fruta de cristal</t>
  </si>
  <si>
    <t xml:space="preserve">Batata</t>
  </si>
  <si>
    <t xml:space="preserve">Girassol</t>
  </si>
  <si>
    <t xml:space="preserve">Abóbora</t>
  </si>
  <si>
    <t xml:space="preserve">Inhame de neve</t>
  </si>
  <si>
    <t xml:space="preserve">Cenoura</t>
  </si>
  <si>
    <t xml:space="preserve">Repolho roxo</t>
  </si>
  <si>
    <t xml:space="preserve">Inhame</t>
  </si>
  <si>
    <t xml:space="preserve">Azevinho</t>
  </si>
  <si>
    <t xml:space="preserve">Coluna C</t>
  </si>
  <si>
    <t xml:space="preserve">Coluna D</t>
  </si>
  <si>
    <t xml:space="preserve">Coluna E</t>
  </si>
  <si>
    <t xml:space="preserve">(vazio)</t>
  </si>
  <si>
    <t xml:space="preserve">Total Resultado</t>
  </si>
  <si>
    <t xml:space="preserve">Paleta de cores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</si>
</sst>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24"/>
      <color rgb="FF000000"/>
      <name val="Arial"/>
      <family val="2"/>
    </font>
    <font>
      <b val="true"/>
      <shadow val="true"/>
      <sz val="24"/>
      <color rgb="FF000000"/>
      <name val="Palatino Linotype"/>
      <family val="1"/>
      <charset val="1"/>
    </font>
    <font>
      <b val="true"/>
      <shadow val="true"/>
      <sz val="24"/>
      <color rgb="FF000000"/>
      <name val="Palatino Linotype"/>
      <family val="1"/>
    </font>
    <font>
      <sz val="18"/>
      <name val="Cabin Sketch"/>
      <family val="2"/>
    </font>
    <font>
      <sz val="16"/>
      <name val="Cabin Sketch"/>
      <family val="2"/>
    </font>
    <font>
      <sz val="14"/>
      <name val="Cabin Sketch"/>
      <family val="2"/>
    </font>
    <font>
      <sz val="14"/>
      <name val="Cabin Sketch"/>
      <family val="2"/>
      <charset val="1"/>
    </font>
    <font>
      <sz val="16"/>
      <name val="Cabin Sketch"/>
      <family val="2"/>
      <charset val="1"/>
    </font>
    <font>
      <sz val="18"/>
      <name val="Cabin Sketch"/>
      <family val="2"/>
      <charset val="1"/>
    </font>
    <font>
      <b val="true"/>
      <shadow val="true"/>
      <sz val="36"/>
      <color rgb="FF000000"/>
      <name val="Cabin Sketch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7CEEB"/>
        <bgColor rgb="FF59C9F1"/>
      </patternFill>
    </fill>
    <fill>
      <patternFill patternType="solid">
        <fgColor rgb="FFF5DEB3"/>
        <bgColor rgb="FFFFFFCC"/>
      </patternFill>
    </fill>
    <fill>
      <patternFill patternType="solid">
        <fgColor rgb="FF59C9F1"/>
        <bgColor rgb="FF87CEEB"/>
      </patternFill>
    </fill>
    <fill>
      <patternFill patternType="solid">
        <fgColor rgb="FF56160C"/>
        <bgColor rgb="FF7E0021"/>
      </patternFill>
    </fill>
    <fill>
      <patternFill patternType="solid">
        <fgColor rgb="FFFF4500"/>
        <bgColor rgb="FFFF420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Valor da tabela dinâmica" xfId="22"/>
    <cellStyle name="Categoria da tabela dinâmica" xfId="23"/>
    <cellStyle name="Título da tabela dinâmica" xfId="24"/>
    <cellStyle name="Resultado da tabela dinâmica" xfId="25"/>
    <cellStyle name="Título" xfId="26"/>
  </cellStyles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56160C"/>
      <rgbColor rgb="FF008080"/>
      <rgbColor rgb="FF0000FF"/>
      <rgbColor rgb="FF00CCFF"/>
      <rgbColor rgb="FFCCFFFF"/>
      <rgbColor rgb="FFCCFFCC"/>
      <rgbColor rgb="FFFFFF99"/>
      <rgbColor rgb="FF87CEEB"/>
      <rgbColor rgb="FFFF99CC"/>
      <rgbColor rgb="FFCC99FF"/>
      <rgbColor rgb="FFF5DEB3"/>
      <rgbColor rgb="FF3366FF"/>
      <rgbColor rgb="FF59C9F1"/>
      <rgbColor rgb="FF99CC00"/>
      <rgbColor rgb="FFFFD320"/>
      <rgbColor rgb="FFFF9900"/>
      <rgbColor rgb="FFFF4500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Bases!$B$6:$B$10</c:f>
              <c:strCache>
                <c:ptCount val="5"/>
                <c:pt idx="0">
                  <c:v>Chirívia</c:v>
                </c:pt>
                <c:pt idx="1">
                  <c:v>Couve-flor</c:v>
                </c:pt>
                <c:pt idx="2">
                  <c:v>Couve</c:v>
                </c:pt>
                <c:pt idx="3">
                  <c:v>Batata</c:v>
                </c:pt>
                <c:pt idx="4">
                  <c:v>Cenoura</c:v>
                </c:pt>
              </c:strCache>
            </c:strRef>
          </c:cat>
          <c:val>
            <c:numRef>
              <c:f>Bases!$C$6:$C$10</c:f>
              <c:numCache>
                <c:formatCode>General</c:formatCode>
                <c:ptCount val="5"/>
                <c:pt idx="0">
                  <c:v>35</c:v>
                </c:pt>
                <c:pt idx="1">
                  <c:v>175</c:v>
                </c:pt>
                <c:pt idx="2">
                  <c:v>110</c:v>
                </c:pt>
                <c:pt idx="3">
                  <c:v>80</c:v>
                </c:pt>
                <c:pt idx="4">
                  <c:v>35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Bases!$B$6:$B$10</c:f>
              <c:strCache>
                <c:ptCount val="5"/>
                <c:pt idx="0">
                  <c:v>Chirívia</c:v>
                </c:pt>
                <c:pt idx="1">
                  <c:v>Couve-flor</c:v>
                </c:pt>
                <c:pt idx="2">
                  <c:v>Couve</c:v>
                </c:pt>
                <c:pt idx="3">
                  <c:v>Batata</c:v>
                </c:pt>
                <c:pt idx="4">
                  <c:v>Cenoura</c:v>
                </c:pt>
              </c:strCache>
            </c:strRef>
          </c:cat>
          <c:val>
            <c:numRef>
              <c:f>Bases!$D$6:$D$10</c:f>
              <c:numCache>
                <c:formatCode>General</c:formatCode>
                <c:ptCount val="5"/>
                <c:pt idx="0">
                  <c:v>37</c:v>
                </c:pt>
                <c:pt idx="1">
                  <c:v>15</c:v>
                </c:pt>
                <c:pt idx="2">
                  <c:v>17</c:v>
                </c:pt>
                <c:pt idx="3">
                  <c:v>16</c:v>
                </c:pt>
                <c:pt idx="4">
                  <c:v>27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Bases!$B$6:$B$10</c:f>
              <c:strCache>
                <c:ptCount val="5"/>
                <c:pt idx="0">
                  <c:v>Chirívia</c:v>
                </c:pt>
                <c:pt idx="1">
                  <c:v>Couve-flor</c:v>
                </c:pt>
                <c:pt idx="2">
                  <c:v>Couve</c:v>
                </c:pt>
                <c:pt idx="3">
                  <c:v>Batata</c:v>
                </c:pt>
                <c:pt idx="4">
                  <c:v>Cenoura</c:v>
                </c:pt>
              </c:strCache>
            </c:strRef>
          </c:cat>
          <c:val>
            <c:numRef>
              <c:f>Bases!$E$6:$E$10</c:f>
              <c:numCache>
                <c:formatCode>General</c:formatCode>
                <c:ptCount val="5"/>
                <c:pt idx="0">
                  <c:v>1295</c:v>
                </c:pt>
                <c:pt idx="1">
                  <c:v>2625</c:v>
                </c:pt>
                <c:pt idx="2">
                  <c:v>1870</c:v>
                </c:pt>
                <c:pt idx="3">
                  <c:v>1280</c:v>
                </c:pt>
                <c:pt idx="4">
                  <c:v>945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5deb3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Bases!$G$6:$G$10</c:f>
              <c:strCache>
                <c:ptCount val="5"/>
                <c:pt idx="0">
                  <c:v>Melão</c:v>
                </c:pt>
                <c:pt idx="1">
                  <c:v>Rabanete</c:v>
                </c:pt>
                <c:pt idx="2">
                  <c:v>Trigo</c:v>
                </c:pt>
                <c:pt idx="3">
                  <c:v>Girassol</c:v>
                </c:pt>
                <c:pt idx="4">
                  <c:v>Repolho roxo</c:v>
                </c:pt>
              </c:strCache>
            </c:strRef>
          </c:cat>
          <c:val>
            <c:numRef>
              <c:f>Bases!$H$6:$H$10</c:f>
              <c:numCache>
                <c:formatCode>General</c:formatCode>
                <c:ptCount val="5"/>
                <c:pt idx="0">
                  <c:v>250</c:v>
                </c:pt>
                <c:pt idx="1">
                  <c:v>90</c:v>
                </c:pt>
                <c:pt idx="2">
                  <c:v>25</c:v>
                </c:pt>
                <c:pt idx="3">
                  <c:v>80</c:v>
                </c:pt>
                <c:pt idx="4">
                  <c:v>260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Bases!$G$6:$G$10</c:f>
              <c:strCache>
                <c:ptCount val="5"/>
                <c:pt idx="0">
                  <c:v>Melão</c:v>
                </c:pt>
                <c:pt idx="1">
                  <c:v>Rabanete</c:v>
                </c:pt>
                <c:pt idx="2">
                  <c:v>Trigo</c:v>
                </c:pt>
                <c:pt idx="3">
                  <c:v>Girassol</c:v>
                </c:pt>
                <c:pt idx="4">
                  <c:v>Repolho roxo</c:v>
                </c:pt>
              </c:strCache>
            </c:strRef>
          </c:cat>
          <c:val>
            <c:numRef>
              <c:f>Bases!$I$6:$I$10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8</c:v>
                </c:pt>
                <c:pt idx="3">
                  <c:v>40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Bases!$G$6:$G$10</c:f>
              <c:strCache>
                <c:ptCount val="5"/>
                <c:pt idx="0">
                  <c:v>Melão</c:v>
                </c:pt>
                <c:pt idx="1">
                  <c:v>Rabanete</c:v>
                </c:pt>
                <c:pt idx="2">
                  <c:v>Trigo</c:v>
                </c:pt>
                <c:pt idx="3">
                  <c:v>Girassol</c:v>
                </c:pt>
                <c:pt idx="4">
                  <c:v>Repolho roxo</c:v>
                </c:pt>
              </c:strCache>
            </c:strRef>
          </c:cat>
          <c:val>
            <c:numRef>
              <c:f>Bases!$J$6:$J$10</c:f>
              <c:numCache>
                <c:formatCode>General</c:formatCode>
                <c:ptCount val="5"/>
                <c:pt idx="0">
                  <c:v>2000</c:v>
                </c:pt>
                <c:pt idx="1">
                  <c:v>1440</c:v>
                </c:pt>
                <c:pt idx="2">
                  <c:v>200</c:v>
                </c:pt>
                <c:pt idx="3">
                  <c:v>3200</c:v>
                </c:pt>
                <c:pt idx="4">
                  <c:v>2080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5deb3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Bases!$N$6:$N$10</c:f>
              <c:strCache>
                <c:ptCount val="5"/>
                <c:pt idx="0">
                  <c:v>Alcachofra</c:v>
                </c:pt>
                <c:pt idx="1">
                  <c:v>Beterraba</c:v>
                </c:pt>
                <c:pt idx="2">
                  <c:v>Couve chinesa</c:v>
                </c:pt>
                <c:pt idx="3">
                  <c:v>Abóbora</c:v>
                </c:pt>
                <c:pt idx="4">
                  <c:v>Inhame</c:v>
                </c:pt>
              </c:strCache>
            </c:strRef>
          </c:cat>
          <c:val>
            <c:numRef>
              <c:f>Bases!$O$6:$O$10</c:f>
              <c:numCache>
                <c:formatCode>General</c:formatCode>
                <c:ptCount val="5"/>
                <c:pt idx="0">
                  <c:v>160</c:v>
                </c:pt>
                <c:pt idx="1">
                  <c:v>100</c:v>
                </c:pt>
                <c:pt idx="2">
                  <c:v>80</c:v>
                </c:pt>
                <c:pt idx="3">
                  <c:v>320</c:v>
                </c:pt>
                <c:pt idx="4">
                  <c:v>160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Bases!$N$6:$N$10</c:f>
              <c:strCache>
                <c:ptCount val="5"/>
                <c:pt idx="0">
                  <c:v>Alcachofra</c:v>
                </c:pt>
                <c:pt idx="1">
                  <c:v>Beterraba</c:v>
                </c:pt>
                <c:pt idx="2">
                  <c:v>Couve chinesa</c:v>
                </c:pt>
                <c:pt idx="3">
                  <c:v>Abóbora</c:v>
                </c:pt>
                <c:pt idx="4">
                  <c:v>Inhame</c:v>
                </c:pt>
              </c:strCache>
            </c:strRef>
          </c:cat>
          <c:val>
            <c:numRef>
              <c:f>Bases!$P$6:$P$10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32</c:v>
                </c:pt>
                <c:pt idx="3">
                  <c:v>32</c:v>
                </c:pt>
                <c:pt idx="4">
                  <c:v>16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Bases!$N$6:$N$10</c:f>
              <c:strCache>
                <c:ptCount val="5"/>
                <c:pt idx="0">
                  <c:v>Alcachofra</c:v>
                </c:pt>
                <c:pt idx="1">
                  <c:v>Beterraba</c:v>
                </c:pt>
                <c:pt idx="2">
                  <c:v>Couve chinesa</c:v>
                </c:pt>
                <c:pt idx="3">
                  <c:v>Abóbora</c:v>
                </c:pt>
                <c:pt idx="4">
                  <c:v>Inhame</c:v>
                </c:pt>
              </c:strCache>
            </c:strRef>
          </c:cat>
          <c:val>
            <c:numRef>
              <c:f>Bases!$Q$6:$Q$10</c:f>
              <c:numCache>
                <c:formatCode>General</c:formatCode>
                <c:ptCount val="5"/>
                <c:pt idx="0">
                  <c:v>2560</c:v>
                </c:pt>
                <c:pt idx="1">
                  <c:v>1600</c:v>
                </c:pt>
                <c:pt idx="2">
                  <c:v>2560</c:v>
                </c:pt>
                <c:pt idx="3">
                  <c:v>10240</c:v>
                </c:pt>
                <c:pt idx="4">
                  <c:v>2560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5deb3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Bases!$T$6:$T$10</c:f>
              <c:strCache>
                <c:ptCount val="5"/>
                <c:pt idx="0">
                  <c:v>Melão-poeiro</c:v>
                </c:pt>
                <c:pt idx="1">
                  <c:v>Raiz de Inverno</c:v>
                </c:pt>
                <c:pt idx="2">
                  <c:v>Fruta de cristal</c:v>
                </c:pt>
                <c:pt idx="3">
                  <c:v>Inhame de neve</c:v>
                </c:pt>
                <c:pt idx="4">
                  <c:v>Azevinho</c:v>
                </c:pt>
              </c:strCache>
            </c:strRef>
          </c:cat>
          <c:val>
            <c:numRef>
              <c:f>Bases!$U$6:$U$10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150</c:v>
                </c:pt>
                <c:pt idx="3">
                  <c:v>100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Bases!$T$6:$T$10</c:f>
              <c:strCache>
                <c:ptCount val="5"/>
                <c:pt idx="0">
                  <c:v>Melão-poeiro</c:v>
                </c:pt>
                <c:pt idx="1">
                  <c:v>Raiz de Inverno</c:v>
                </c:pt>
                <c:pt idx="2">
                  <c:v>Fruta de cristal</c:v>
                </c:pt>
                <c:pt idx="3">
                  <c:v>Inhame de neve</c:v>
                </c:pt>
                <c:pt idx="4">
                  <c:v>Azevinho</c:v>
                </c:pt>
              </c:strCache>
            </c:strRef>
          </c:cat>
          <c:val>
            <c:numRef>
              <c:f>Bases!$V$6:$V$10</c:f>
              <c:numCache>
                <c:formatCode>General</c:formatCode>
                <c:ptCount val="5"/>
                <c:pt idx="0">
                  <c:v>32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Bases!$T$6:$T$10</c:f>
              <c:strCache>
                <c:ptCount val="5"/>
                <c:pt idx="0">
                  <c:v>Melão-poeiro</c:v>
                </c:pt>
                <c:pt idx="1">
                  <c:v>Raiz de Inverno</c:v>
                </c:pt>
                <c:pt idx="2">
                  <c:v>Fruta de cristal</c:v>
                </c:pt>
                <c:pt idx="3">
                  <c:v>Inhame de neve</c:v>
                </c:pt>
                <c:pt idx="4">
                  <c:v>Azevinho</c:v>
                </c:pt>
              </c:strCache>
            </c:strRef>
          </c:cat>
          <c:val>
            <c:numRef>
              <c:f>Bases!$W$6:$W$10</c:f>
              <c:numCache>
                <c:formatCode>General</c:formatCode>
                <c:ptCount val="5"/>
                <c:pt idx="0">
                  <c:v>1920</c:v>
                </c:pt>
                <c:pt idx="1">
                  <c:v>1120</c:v>
                </c:pt>
                <c:pt idx="2">
                  <c:v>2400</c:v>
                </c:pt>
                <c:pt idx="3">
                  <c:v>1600</c:v>
                </c:pt>
                <c:pt idx="4">
                  <c:v>640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5deb3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Bases!$B$6:$B$10</c:f>
              <c:strCache>
                <c:ptCount val="5"/>
                <c:pt idx="0">
                  <c:v>Chirívia</c:v>
                </c:pt>
                <c:pt idx="1">
                  <c:v>Couve-flor</c:v>
                </c:pt>
                <c:pt idx="2">
                  <c:v>Couve</c:v>
                </c:pt>
                <c:pt idx="3">
                  <c:v>Batata</c:v>
                </c:pt>
                <c:pt idx="4">
                  <c:v>Cenoura</c:v>
                </c:pt>
              </c:strCache>
            </c:strRef>
          </c:cat>
          <c:val>
            <c:numRef>
              <c:f>Bases!$C$6:$C$10</c:f>
              <c:numCache>
                <c:formatCode>General</c:formatCode>
                <c:ptCount val="5"/>
                <c:pt idx="0">
                  <c:v>35</c:v>
                </c:pt>
                <c:pt idx="1">
                  <c:v>175</c:v>
                </c:pt>
                <c:pt idx="2">
                  <c:v>110</c:v>
                </c:pt>
                <c:pt idx="3">
                  <c:v>80</c:v>
                </c:pt>
                <c:pt idx="4">
                  <c:v>35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Bases!$B$6:$B$10</c:f>
              <c:strCache>
                <c:ptCount val="5"/>
                <c:pt idx="0">
                  <c:v>Chirívia</c:v>
                </c:pt>
                <c:pt idx="1">
                  <c:v>Couve-flor</c:v>
                </c:pt>
                <c:pt idx="2">
                  <c:v>Couve</c:v>
                </c:pt>
                <c:pt idx="3">
                  <c:v>Batata</c:v>
                </c:pt>
                <c:pt idx="4">
                  <c:v>Cenoura</c:v>
                </c:pt>
              </c:strCache>
            </c:strRef>
          </c:cat>
          <c:val>
            <c:numRef>
              <c:f>Bases!$D$6:$D$10</c:f>
              <c:numCache>
                <c:formatCode>General</c:formatCode>
                <c:ptCount val="5"/>
                <c:pt idx="0">
                  <c:v>37</c:v>
                </c:pt>
                <c:pt idx="1">
                  <c:v>15</c:v>
                </c:pt>
                <c:pt idx="2">
                  <c:v>17</c:v>
                </c:pt>
                <c:pt idx="3">
                  <c:v>16</c:v>
                </c:pt>
                <c:pt idx="4">
                  <c:v>27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Bases!$B$6:$B$10</c:f>
              <c:strCache>
                <c:ptCount val="5"/>
                <c:pt idx="0">
                  <c:v>Chirívia</c:v>
                </c:pt>
                <c:pt idx="1">
                  <c:v>Couve-flor</c:v>
                </c:pt>
                <c:pt idx="2">
                  <c:v>Couve</c:v>
                </c:pt>
                <c:pt idx="3">
                  <c:v>Batata</c:v>
                </c:pt>
                <c:pt idx="4">
                  <c:v>Cenoura</c:v>
                </c:pt>
              </c:strCache>
            </c:strRef>
          </c:cat>
          <c:val>
            <c:numRef>
              <c:f>Bases!$E$6:$E$10</c:f>
              <c:numCache>
                <c:formatCode>General</c:formatCode>
                <c:ptCount val="5"/>
                <c:pt idx="0">
                  <c:v>1295</c:v>
                </c:pt>
                <c:pt idx="1">
                  <c:v>2625</c:v>
                </c:pt>
                <c:pt idx="2">
                  <c:v>1870</c:v>
                </c:pt>
                <c:pt idx="3">
                  <c:v>1280</c:v>
                </c:pt>
                <c:pt idx="4">
                  <c:v>945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Bases!$G$6:$G$10</c:f>
              <c:strCache>
                <c:ptCount val="5"/>
                <c:pt idx="0">
                  <c:v>Melão</c:v>
                </c:pt>
                <c:pt idx="1">
                  <c:v>Rabanete</c:v>
                </c:pt>
                <c:pt idx="2">
                  <c:v>Trigo</c:v>
                </c:pt>
                <c:pt idx="3">
                  <c:v>Girassol</c:v>
                </c:pt>
                <c:pt idx="4">
                  <c:v>Repolho roxo</c:v>
                </c:pt>
              </c:strCache>
            </c:strRef>
          </c:cat>
          <c:val>
            <c:numRef>
              <c:f>Bases!$H$6:$H$10</c:f>
              <c:numCache>
                <c:formatCode>General</c:formatCode>
                <c:ptCount val="5"/>
                <c:pt idx="0">
                  <c:v>250</c:v>
                </c:pt>
                <c:pt idx="1">
                  <c:v>90</c:v>
                </c:pt>
                <c:pt idx="2">
                  <c:v>25</c:v>
                </c:pt>
                <c:pt idx="3">
                  <c:v>80</c:v>
                </c:pt>
                <c:pt idx="4">
                  <c:v>260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Bases!$G$6:$G$10</c:f>
              <c:strCache>
                <c:ptCount val="5"/>
                <c:pt idx="0">
                  <c:v>Melão</c:v>
                </c:pt>
                <c:pt idx="1">
                  <c:v>Rabanete</c:v>
                </c:pt>
                <c:pt idx="2">
                  <c:v>Trigo</c:v>
                </c:pt>
                <c:pt idx="3">
                  <c:v>Girassol</c:v>
                </c:pt>
                <c:pt idx="4">
                  <c:v>Repolho roxo</c:v>
                </c:pt>
              </c:strCache>
            </c:strRef>
          </c:cat>
          <c:val>
            <c:numRef>
              <c:f>Bases!$I$6:$I$10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8</c:v>
                </c:pt>
                <c:pt idx="3">
                  <c:v>40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Bases!$G$6:$G$10</c:f>
              <c:strCache>
                <c:ptCount val="5"/>
                <c:pt idx="0">
                  <c:v>Melão</c:v>
                </c:pt>
                <c:pt idx="1">
                  <c:v>Rabanete</c:v>
                </c:pt>
                <c:pt idx="2">
                  <c:v>Trigo</c:v>
                </c:pt>
                <c:pt idx="3">
                  <c:v>Girassol</c:v>
                </c:pt>
                <c:pt idx="4">
                  <c:v>Repolho roxo</c:v>
                </c:pt>
              </c:strCache>
            </c:strRef>
          </c:cat>
          <c:val>
            <c:numRef>
              <c:f>Bases!$J$6:$J$10</c:f>
              <c:numCache>
                <c:formatCode>General</c:formatCode>
                <c:ptCount val="5"/>
                <c:pt idx="0">
                  <c:v>2000</c:v>
                </c:pt>
                <c:pt idx="1">
                  <c:v>1440</c:v>
                </c:pt>
                <c:pt idx="2">
                  <c:v>200</c:v>
                </c:pt>
                <c:pt idx="3">
                  <c:v>3200</c:v>
                </c:pt>
                <c:pt idx="4">
                  <c:v>2080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Bases!$N$6:$N$10</c:f>
              <c:strCache>
                <c:ptCount val="5"/>
                <c:pt idx="0">
                  <c:v>Alcachofra</c:v>
                </c:pt>
                <c:pt idx="1">
                  <c:v>Beterraba</c:v>
                </c:pt>
                <c:pt idx="2">
                  <c:v>Couve chinesa</c:v>
                </c:pt>
                <c:pt idx="3">
                  <c:v>Abóbora</c:v>
                </c:pt>
                <c:pt idx="4">
                  <c:v>Inhame</c:v>
                </c:pt>
              </c:strCache>
            </c:strRef>
          </c:cat>
          <c:val>
            <c:numRef>
              <c:f>Bases!$O$6:$O$10</c:f>
              <c:numCache>
                <c:formatCode>General</c:formatCode>
                <c:ptCount val="5"/>
                <c:pt idx="0">
                  <c:v>160</c:v>
                </c:pt>
                <c:pt idx="1">
                  <c:v>100</c:v>
                </c:pt>
                <c:pt idx="2">
                  <c:v>80</c:v>
                </c:pt>
                <c:pt idx="3">
                  <c:v>320</c:v>
                </c:pt>
                <c:pt idx="4">
                  <c:v>160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Bases!$N$6:$N$10</c:f>
              <c:strCache>
                <c:ptCount val="5"/>
                <c:pt idx="0">
                  <c:v>Alcachofra</c:v>
                </c:pt>
                <c:pt idx="1">
                  <c:v>Beterraba</c:v>
                </c:pt>
                <c:pt idx="2">
                  <c:v>Couve chinesa</c:v>
                </c:pt>
                <c:pt idx="3">
                  <c:v>Abóbora</c:v>
                </c:pt>
                <c:pt idx="4">
                  <c:v>Inhame</c:v>
                </c:pt>
              </c:strCache>
            </c:strRef>
          </c:cat>
          <c:val>
            <c:numRef>
              <c:f>Bases!$P$6:$P$10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32</c:v>
                </c:pt>
                <c:pt idx="3">
                  <c:v>32</c:v>
                </c:pt>
                <c:pt idx="4">
                  <c:v>16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Bases!$N$6:$N$10</c:f>
              <c:strCache>
                <c:ptCount val="5"/>
                <c:pt idx="0">
                  <c:v>Alcachofra</c:v>
                </c:pt>
                <c:pt idx="1">
                  <c:v>Beterraba</c:v>
                </c:pt>
                <c:pt idx="2">
                  <c:v>Couve chinesa</c:v>
                </c:pt>
                <c:pt idx="3">
                  <c:v>Abóbora</c:v>
                </c:pt>
                <c:pt idx="4">
                  <c:v>Inhame</c:v>
                </c:pt>
              </c:strCache>
            </c:strRef>
          </c:cat>
          <c:val>
            <c:numRef>
              <c:f>Bases!$Q$6:$Q$10</c:f>
              <c:numCache>
                <c:formatCode>General</c:formatCode>
                <c:ptCount val="5"/>
                <c:pt idx="0">
                  <c:v>2560</c:v>
                </c:pt>
                <c:pt idx="1">
                  <c:v>1600</c:v>
                </c:pt>
                <c:pt idx="2">
                  <c:v>2560</c:v>
                </c:pt>
                <c:pt idx="3">
                  <c:v>10240</c:v>
                </c:pt>
                <c:pt idx="4">
                  <c:v>2560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Bases!$T$6:$T$10</c:f>
              <c:strCache>
                <c:ptCount val="5"/>
                <c:pt idx="0">
                  <c:v>Melão-poeiro</c:v>
                </c:pt>
                <c:pt idx="1">
                  <c:v>Raiz de Inverno</c:v>
                </c:pt>
                <c:pt idx="2">
                  <c:v>Fruta de cristal</c:v>
                </c:pt>
                <c:pt idx="3">
                  <c:v>Inhame de neve</c:v>
                </c:pt>
                <c:pt idx="4">
                  <c:v>Azevinho</c:v>
                </c:pt>
              </c:strCache>
            </c:strRef>
          </c:cat>
          <c:val>
            <c:numRef>
              <c:f>Bases!$U$6:$U$10</c:f>
              <c:numCache>
                <c:formatCode>General</c:formatCode>
                <c:ptCount val="5"/>
                <c:pt idx="0">
                  <c:v>60</c:v>
                </c:pt>
                <c:pt idx="1">
                  <c:v>70</c:v>
                </c:pt>
                <c:pt idx="2">
                  <c:v>150</c:v>
                </c:pt>
                <c:pt idx="3">
                  <c:v>100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Bases!$T$6:$T$10</c:f>
              <c:strCache>
                <c:ptCount val="5"/>
                <c:pt idx="0">
                  <c:v>Melão-poeiro</c:v>
                </c:pt>
                <c:pt idx="1">
                  <c:v>Raiz de Inverno</c:v>
                </c:pt>
                <c:pt idx="2">
                  <c:v>Fruta de cristal</c:v>
                </c:pt>
                <c:pt idx="3">
                  <c:v>Inhame de neve</c:v>
                </c:pt>
                <c:pt idx="4">
                  <c:v>Azevinho</c:v>
                </c:pt>
              </c:strCache>
            </c:strRef>
          </c:cat>
          <c:val>
            <c:numRef>
              <c:f>Bases!$V$6:$V$10</c:f>
              <c:numCache>
                <c:formatCode>General</c:formatCode>
                <c:ptCount val="5"/>
                <c:pt idx="0">
                  <c:v>32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Bases!$T$6:$T$10</c:f>
              <c:strCache>
                <c:ptCount val="5"/>
                <c:pt idx="0">
                  <c:v>Melão-poeiro</c:v>
                </c:pt>
                <c:pt idx="1">
                  <c:v>Raiz de Inverno</c:v>
                </c:pt>
                <c:pt idx="2">
                  <c:v>Fruta de cristal</c:v>
                </c:pt>
                <c:pt idx="3">
                  <c:v>Inhame de neve</c:v>
                </c:pt>
                <c:pt idx="4">
                  <c:v>Azevinho</c:v>
                </c:pt>
              </c:strCache>
            </c:strRef>
          </c:cat>
          <c:val>
            <c:numRef>
              <c:f>Bases!$W$6:$W$10</c:f>
              <c:numCache>
                <c:formatCode>General</c:formatCode>
                <c:ptCount val="5"/>
                <c:pt idx="0">
                  <c:v>1920</c:v>
                </c:pt>
                <c:pt idx="1">
                  <c:v>1120</c:v>
                </c:pt>
                <c:pt idx="2">
                  <c:v>2400</c:v>
                </c:pt>
                <c:pt idx="3">
                  <c:v>1600</c:v>
                </c:pt>
                <c:pt idx="4">
                  <c:v>640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chart" Target="../charts/chart11.xml"/><Relationship Id="rId6" Type="http://schemas.openxmlformats.org/officeDocument/2006/relationships/image" Target="../media/image18.png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image" Target="../media/image19.png"/><Relationship Id="rId11" Type="http://schemas.openxmlformats.org/officeDocument/2006/relationships/image" Target="../media/image20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606600</xdr:colOff>
      <xdr:row>0</xdr:row>
      <xdr:rowOff>87120</xdr:rowOff>
    </xdr:from>
    <xdr:to>
      <xdr:col>5</xdr:col>
      <xdr:colOff>731520</xdr:colOff>
      <xdr:row>7</xdr:row>
      <xdr:rowOff>67320</xdr:rowOff>
    </xdr:to>
    <xdr:pic>
      <xdr:nvPicPr>
        <xdr:cNvPr id="0" name="Figura 2" descr=""/>
        <xdr:cNvPicPr/>
      </xdr:nvPicPr>
      <xdr:blipFill>
        <a:blip r:embed="rId1"/>
        <a:stretch/>
      </xdr:blipFill>
      <xdr:spPr>
        <a:xfrm>
          <a:off x="2232000" y="87120"/>
          <a:ext cx="2563200" cy="1131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574200</xdr:colOff>
      <xdr:row>1</xdr:row>
      <xdr:rowOff>124200</xdr:rowOff>
    </xdr:from>
    <xdr:to>
      <xdr:col>19</xdr:col>
      <xdr:colOff>75960</xdr:colOff>
      <xdr:row>6</xdr:row>
      <xdr:rowOff>1800</xdr:rowOff>
    </xdr:to>
    <xdr:sp>
      <xdr:nvSpPr>
        <xdr:cNvPr id="1" name="Forma 1"/>
        <xdr:cNvSpPr/>
      </xdr:nvSpPr>
      <xdr:spPr>
        <a:xfrm>
          <a:off x="6263640" y="286560"/>
          <a:ext cx="9255240" cy="704520"/>
        </a:xfrm>
        <a:custGeom>
          <a:avLst/>
          <a:gdLst/>
          <a:ahLst/>
          <a:rect l="0" t="0" r="r" b="b"/>
          <a:pathLst>
            <a:path w="25711" h="1959">
              <a:moveTo>
                <a:pt x="326" y="0"/>
              </a:moveTo>
              <a:lnTo>
                <a:pt x="326" y="0"/>
              </a:lnTo>
              <a:cubicBezTo>
                <a:pt x="269" y="0"/>
                <a:pt x="213" y="15"/>
                <a:pt x="163" y="44"/>
              </a:cubicBezTo>
              <a:cubicBezTo>
                <a:pt x="114" y="72"/>
                <a:pt x="72" y="114"/>
                <a:pt x="44" y="163"/>
              </a:cubicBezTo>
              <a:cubicBezTo>
                <a:pt x="15" y="213"/>
                <a:pt x="0" y="269"/>
                <a:pt x="0" y="326"/>
              </a:cubicBezTo>
              <a:lnTo>
                <a:pt x="0" y="1631"/>
              </a:lnTo>
              <a:lnTo>
                <a:pt x="0" y="1632"/>
              </a:lnTo>
              <a:cubicBezTo>
                <a:pt x="0" y="1689"/>
                <a:pt x="15" y="1745"/>
                <a:pt x="44" y="1795"/>
              </a:cubicBezTo>
              <a:cubicBezTo>
                <a:pt x="72" y="1844"/>
                <a:pt x="114" y="1886"/>
                <a:pt x="163" y="1914"/>
              </a:cubicBezTo>
              <a:cubicBezTo>
                <a:pt x="213" y="1943"/>
                <a:pt x="269" y="1958"/>
                <a:pt x="326" y="1958"/>
              </a:cubicBezTo>
              <a:lnTo>
                <a:pt x="25383" y="1958"/>
              </a:lnTo>
              <a:lnTo>
                <a:pt x="25384" y="1958"/>
              </a:lnTo>
              <a:cubicBezTo>
                <a:pt x="25441" y="1958"/>
                <a:pt x="25497" y="1943"/>
                <a:pt x="25547" y="1914"/>
              </a:cubicBezTo>
              <a:cubicBezTo>
                <a:pt x="25596" y="1886"/>
                <a:pt x="25638" y="1844"/>
                <a:pt x="25666" y="1795"/>
              </a:cubicBezTo>
              <a:cubicBezTo>
                <a:pt x="25695" y="1745"/>
                <a:pt x="25710" y="1689"/>
                <a:pt x="25710" y="1632"/>
              </a:cubicBezTo>
              <a:lnTo>
                <a:pt x="25710" y="326"/>
              </a:lnTo>
              <a:lnTo>
                <a:pt x="25710" y="326"/>
              </a:lnTo>
              <a:lnTo>
                <a:pt x="25710" y="326"/>
              </a:lnTo>
              <a:cubicBezTo>
                <a:pt x="25710" y="269"/>
                <a:pt x="25695" y="213"/>
                <a:pt x="25666" y="163"/>
              </a:cubicBezTo>
              <a:cubicBezTo>
                <a:pt x="25638" y="114"/>
                <a:pt x="25596" y="72"/>
                <a:pt x="25547" y="44"/>
              </a:cubicBezTo>
              <a:cubicBezTo>
                <a:pt x="25497" y="15"/>
                <a:pt x="25441" y="0"/>
                <a:pt x="25384" y="0"/>
              </a:cubicBezTo>
              <a:lnTo>
                <a:pt x="326" y="0"/>
              </a:lnTo>
            </a:path>
          </a:pathLst>
        </a:custGeom>
        <a:solidFill>
          <a:srgbClr val="87ceeb"/>
        </a:solidFill>
        <a:ln w="0">
          <a:solidFill>
            <a:srgbClr val="87cefa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1" lang="pt-BR" sz="3600" spc="-1" strike="noStrike">
              <a:solidFill>
                <a:srgbClr val="000000"/>
              </a:solidFill>
              <a:latin typeface="Cabin Sketch"/>
              <a:ea typeface="Microsoft YaHei"/>
            </a:rPr>
            <a:t>Vendas no primeiro ano da fazenda AndaLuz</a:t>
          </a:r>
          <a:endParaRPr b="0" lang="pt-BR" sz="3600" spc="-1" strike="noStrike">
            <a:latin typeface="Times New Roman"/>
          </a:endParaRPr>
        </a:p>
      </xdr:txBody>
    </xdr:sp>
    <xdr:clientData/>
  </xdr:twoCellAnchor>
  <xdr:twoCellAnchor editAs="absolute">
    <xdr:from>
      <xdr:col>18</xdr:col>
      <xdr:colOff>781560</xdr:colOff>
      <xdr:row>2</xdr:row>
      <xdr:rowOff>32040</xdr:rowOff>
    </xdr:from>
    <xdr:to>
      <xdr:col>19</xdr:col>
      <xdr:colOff>460440</xdr:colOff>
      <xdr:row>5</xdr:row>
      <xdr:rowOff>19080</xdr:rowOff>
    </xdr:to>
    <xdr:pic>
      <xdr:nvPicPr>
        <xdr:cNvPr id="2" name="Figura 1" descr=""/>
        <xdr:cNvPicPr/>
      </xdr:nvPicPr>
      <xdr:blipFill>
        <a:blip r:embed="rId2"/>
        <a:stretch/>
      </xdr:blipFill>
      <xdr:spPr>
        <a:xfrm>
          <a:off x="15411960" y="370800"/>
          <a:ext cx="491400" cy="474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167760</xdr:colOff>
      <xdr:row>2</xdr:row>
      <xdr:rowOff>16920</xdr:rowOff>
    </xdr:from>
    <xdr:to>
      <xdr:col>7</xdr:col>
      <xdr:colOff>659160</xdr:colOff>
      <xdr:row>5</xdr:row>
      <xdr:rowOff>3960</xdr:rowOff>
    </xdr:to>
    <xdr:pic>
      <xdr:nvPicPr>
        <xdr:cNvPr id="3" name="Figura 5" descr=""/>
        <xdr:cNvPicPr/>
      </xdr:nvPicPr>
      <xdr:blipFill>
        <a:blip r:embed="rId3"/>
        <a:stretch/>
      </xdr:blipFill>
      <xdr:spPr>
        <a:xfrm>
          <a:off x="5857200" y="355680"/>
          <a:ext cx="491400" cy="474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168120</xdr:colOff>
      <xdr:row>10</xdr:row>
      <xdr:rowOff>83880</xdr:rowOff>
    </xdr:from>
    <xdr:to>
      <xdr:col>1</xdr:col>
      <xdr:colOff>643680</xdr:colOff>
      <xdr:row>12</xdr:row>
      <xdr:rowOff>1800</xdr:rowOff>
    </xdr:to>
    <xdr:pic>
      <xdr:nvPicPr>
        <xdr:cNvPr id="4" name="Figura 3" descr=""/>
        <xdr:cNvPicPr/>
      </xdr:nvPicPr>
      <xdr:blipFill>
        <a:blip r:embed="rId4"/>
        <a:stretch/>
      </xdr:blipFill>
      <xdr:spPr>
        <a:xfrm>
          <a:off x="980640" y="1723320"/>
          <a:ext cx="475560" cy="36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357120</xdr:colOff>
      <xdr:row>14</xdr:row>
      <xdr:rowOff>30600</xdr:rowOff>
    </xdr:from>
    <xdr:to>
      <xdr:col>6</xdr:col>
      <xdr:colOff>772200</xdr:colOff>
      <xdr:row>31</xdr:row>
      <xdr:rowOff>103680</xdr:rowOff>
    </xdr:to>
    <xdr:graphicFrame>
      <xdr:nvGraphicFramePr>
        <xdr:cNvPr id="5" name=""/>
        <xdr:cNvGraphicFramePr/>
      </xdr:nvGraphicFramePr>
      <xdr:xfrm>
        <a:off x="1169640" y="2437560"/>
        <a:ext cx="4479120" cy="283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8</xdr:col>
      <xdr:colOff>93960</xdr:colOff>
      <xdr:row>10</xdr:row>
      <xdr:rowOff>106200</xdr:rowOff>
    </xdr:from>
    <xdr:to>
      <xdr:col>8</xdr:col>
      <xdr:colOff>660960</xdr:colOff>
      <xdr:row>12</xdr:row>
      <xdr:rowOff>28440</xdr:rowOff>
    </xdr:to>
    <xdr:pic>
      <xdr:nvPicPr>
        <xdr:cNvPr id="6" name="Figura 4" descr=""/>
        <xdr:cNvPicPr/>
      </xdr:nvPicPr>
      <xdr:blipFill>
        <a:blip r:embed="rId6"/>
        <a:stretch/>
      </xdr:blipFill>
      <xdr:spPr>
        <a:xfrm>
          <a:off x="6596280" y="1745640"/>
          <a:ext cx="567000" cy="36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112320</xdr:colOff>
      <xdr:row>15</xdr:row>
      <xdr:rowOff>25920</xdr:rowOff>
    </xdr:from>
    <xdr:to>
      <xdr:col>13</xdr:col>
      <xdr:colOff>616320</xdr:colOff>
      <xdr:row>29</xdr:row>
      <xdr:rowOff>162720</xdr:rowOff>
    </xdr:to>
    <xdr:graphicFrame>
      <xdr:nvGraphicFramePr>
        <xdr:cNvPr id="7" name=""/>
        <xdr:cNvGraphicFramePr/>
      </xdr:nvGraphicFramePr>
      <xdr:xfrm>
        <a:off x="6614640" y="2595600"/>
        <a:ext cx="4568040" cy="24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289440</xdr:colOff>
      <xdr:row>14</xdr:row>
      <xdr:rowOff>161280</xdr:rowOff>
    </xdr:from>
    <xdr:to>
      <xdr:col>20</xdr:col>
      <xdr:colOff>63720</xdr:colOff>
      <xdr:row>28</xdr:row>
      <xdr:rowOff>148320</xdr:rowOff>
    </xdr:to>
    <xdr:graphicFrame>
      <xdr:nvGraphicFramePr>
        <xdr:cNvPr id="8" name=""/>
        <xdr:cNvGraphicFramePr/>
      </xdr:nvGraphicFramePr>
      <xdr:xfrm>
        <a:off x="11668320" y="2568240"/>
        <a:ext cx="4651200" cy="226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108000</xdr:colOff>
      <xdr:row>14</xdr:row>
      <xdr:rowOff>16560</xdr:rowOff>
    </xdr:from>
    <xdr:to>
      <xdr:col>25</xdr:col>
      <xdr:colOff>717120</xdr:colOff>
      <xdr:row>28</xdr:row>
      <xdr:rowOff>88920</xdr:rowOff>
    </xdr:to>
    <xdr:graphicFrame>
      <xdr:nvGraphicFramePr>
        <xdr:cNvPr id="9" name=""/>
        <xdr:cNvGraphicFramePr/>
      </xdr:nvGraphicFramePr>
      <xdr:xfrm>
        <a:off x="16363800" y="2423520"/>
        <a:ext cx="4673160" cy="234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14</xdr:col>
      <xdr:colOff>102240</xdr:colOff>
      <xdr:row>10</xdr:row>
      <xdr:rowOff>44640</xdr:rowOff>
    </xdr:from>
    <xdr:to>
      <xdr:col>14</xdr:col>
      <xdr:colOff>721440</xdr:colOff>
      <xdr:row>11</xdr:row>
      <xdr:rowOff>280800</xdr:rowOff>
    </xdr:to>
    <xdr:pic>
      <xdr:nvPicPr>
        <xdr:cNvPr id="10" name="Figura 6" descr=""/>
        <xdr:cNvPicPr/>
      </xdr:nvPicPr>
      <xdr:blipFill>
        <a:blip r:embed="rId10"/>
        <a:stretch/>
      </xdr:blipFill>
      <xdr:spPr>
        <a:xfrm>
          <a:off x="11481120" y="1684080"/>
          <a:ext cx="619200" cy="3985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20</xdr:col>
      <xdr:colOff>77040</xdr:colOff>
      <xdr:row>9</xdr:row>
      <xdr:rowOff>148320</xdr:rowOff>
    </xdr:from>
    <xdr:to>
      <xdr:col>20</xdr:col>
      <xdr:colOff>719280</xdr:colOff>
      <xdr:row>11</xdr:row>
      <xdr:rowOff>236520</xdr:rowOff>
    </xdr:to>
    <xdr:pic>
      <xdr:nvPicPr>
        <xdr:cNvPr id="11" name="Figura 7" descr=""/>
        <xdr:cNvPicPr/>
      </xdr:nvPicPr>
      <xdr:blipFill>
        <a:blip r:embed="rId11"/>
        <a:stretch/>
      </xdr:blipFill>
      <xdr:spPr>
        <a:xfrm>
          <a:off x="16332840" y="1625040"/>
          <a:ext cx="642240" cy="413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44640</xdr:colOff>
      <xdr:row>11</xdr:row>
      <xdr:rowOff>24120</xdr:rowOff>
    </xdr:from>
    <xdr:to>
      <xdr:col>5</xdr:col>
      <xdr:colOff>24120</xdr:colOff>
      <xdr:row>26</xdr:row>
      <xdr:rowOff>146520</xdr:rowOff>
    </xdr:to>
    <xdr:graphicFrame>
      <xdr:nvGraphicFramePr>
        <xdr:cNvPr id="12" name=""/>
        <xdr:cNvGraphicFramePr/>
      </xdr:nvGraphicFramePr>
      <xdr:xfrm>
        <a:off x="44640" y="1812240"/>
        <a:ext cx="4043160" cy="256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26640</xdr:colOff>
      <xdr:row>11</xdr:row>
      <xdr:rowOff>27000</xdr:rowOff>
    </xdr:from>
    <xdr:to>
      <xdr:col>11</xdr:col>
      <xdr:colOff>786960</xdr:colOff>
      <xdr:row>26</xdr:row>
      <xdr:rowOff>135360</xdr:rowOff>
    </xdr:to>
    <xdr:graphicFrame>
      <xdr:nvGraphicFramePr>
        <xdr:cNvPr id="13" name=""/>
        <xdr:cNvGraphicFramePr/>
      </xdr:nvGraphicFramePr>
      <xdr:xfrm>
        <a:off x="4903200" y="1815120"/>
        <a:ext cx="4824360" cy="254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11</xdr:row>
      <xdr:rowOff>13320</xdr:rowOff>
    </xdr:from>
    <xdr:to>
      <xdr:col>19</xdr:col>
      <xdr:colOff>236520</xdr:colOff>
      <xdr:row>26</xdr:row>
      <xdr:rowOff>121680</xdr:rowOff>
    </xdr:to>
    <xdr:graphicFrame>
      <xdr:nvGraphicFramePr>
        <xdr:cNvPr id="14" name=""/>
        <xdr:cNvGraphicFramePr/>
      </xdr:nvGraphicFramePr>
      <xdr:xfrm>
        <a:off x="10566360" y="1801440"/>
        <a:ext cx="5234400" cy="254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311040</xdr:colOff>
      <xdr:row>11</xdr:row>
      <xdr:rowOff>14760</xdr:rowOff>
    </xdr:from>
    <xdr:to>
      <xdr:col>25</xdr:col>
      <xdr:colOff>536760</xdr:colOff>
      <xdr:row>26</xdr:row>
      <xdr:rowOff>140760</xdr:rowOff>
    </xdr:to>
    <xdr:graphicFrame>
      <xdr:nvGraphicFramePr>
        <xdr:cNvPr id="15" name=""/>
        <xdr:cNvGraphicFramePr/>
      </xdr:nvGraphicFramePr>
      <xdr:xfrm>
        <a:off x="15875280" y="1802880"/>
        <a:ext cx="5102640" cy="256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B4:E10" sheet="Bases"/>
  </cacheSource>
  <cacheFields count="4">
    <cacheField name="Primavera" numFmtId="0">
      <sharedItems containsBlank="1" count="6">
        <s v="Batata"/>
        <s v="Cenoura"/>
        <s v="Chirívia"/>
        <s v="Couve"/>
        <s v="Couve-flor"/>
        <m/>
      </sharedItems>
    </cacheField>
    <cacheField name="Coluna C" numFmtId="0">
      <sharedItems containsMixedTypes="1" containsNumber="1" containsInteger="1" minValue="35" maxValue="175" count="5">
        <n v="35"/>
        <n v="80"/>
        <n v="110"/>
        <n v="175"/>
        <s v="R$ Venda"/>
      </sharedItems>
    </cacheField>
    <cacheField name="Coluna D" numFmtId="0">
      <sharedItems containsMixedTypes="1" containsNumber="1" containsInteger="1" minValue="15" maxValue="37" count="6">
        <n v="15"/>
        <n v="16"/>
        <n v="17"/>
        <n v="27"/>
        <n v="37"/>
        <s v="Quantidade"/>
      </sharedItems>
    </cacheField>
    <cacheField name="Coluna E" numFmtId="0">
      <sharedItems containsMixedTypes="1" containsNumber="1" containsInteger="1" minValue="945" maxValue="2625" count="6">
        <n v="945"/>
        <n v="1280"/>
        <n v="1295"/>
        <n v="1870"/>
        <n v="2625"/>
        <s v="Tota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5"/>
    <x v="4"/>
    <x v="5"/>
    <x v="5"/>
  </r>
  <r>
    <x v="2"/>
    <x v="0"/>
    <x v="4"/>
    <x v="2"/>
  </r>
  <r>
    <x v="4"/>
    <x v="3"/>
    <x v="0"/>
    <x v="4"/>
  </r>
  <r>
    <x v="3"/>
    <x v="2"/>
    <x v="2"/>
    <x v="3"/>
  </r>
  <r>
    <x v="0"/>
    <x v="1"/>
    <x v="1"/>
    <x v="1"/>
  </r>
  <r>
    <x v="1"/>
    <x v="0"/>
    <x v="3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6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E8" firstHeaderRow="1" firstDataRow="1" firstDataCol="4"/>
  <pivotFields count="4"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axis="axisRow" compact="0" showAll="0" defaultSubtotal="0" outline="0">
      <items count="5">
        <item x="0"/>
        <item x="1"/>
        <item x="2"/>
        <item x="3"/>
        <item x="4"/>
      </items>
    </pivotField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</pivotFields>
  <rowFields count="4">
    <field x="0"/>
    <field x="1"/>
    <field x="2"/>
    <field x="3"/>
  </row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45"/>
  <sheetViews>
    <sheetView showFormulas="false" showGridLines="true" showRowColHeaders="true" showZeros="true" rightToLeft="false" tabSelected="true" showOutlineSymbols="true" defaultGridColor="true" view="normal" topLeftCell="B1" colorId="64" zoomScale="65" zoomScaleNormal="65" zoomScalePageLayoutView="100" workbookViewId="0">
      <selection pane="topLeft" activeCell="G7" activeCellId="0" sqref="G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13.9" hidden="false" customHeight="true" outlineLevel="0" collapsed="false">
      <c r="A2" s="1"/>
      <c r="B2" s="1"/>
      <c r="C2" s="1"/>
      <c r="D2" s="1"/>
      <c r="E2" s="2"/>
      <c r="F2" s="3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customFormat="false" ht="12.8" hidden="false" customHeight="false" outlineLevel="0" collapsed="false">
      <c r="A9" s="5"/>
      <c r="B9" s="5"/>
      <c r="C9" s="5"/>
      <c r="D9" s="5"/>
    </row>
    <row r="10" customFormat="false" ht="12.8" hidden="false" customHeight="false" outlineLevel="0" collapsed="false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customFormat="false" ht="12.8" hidden="false" customHeight="false" outlineLevel="0" collapsed="false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customFormat="false" ht="22.05" hidden="false" customHeight="false" outlineLevel="0" collapsed="false">
      <c r="A12" s="5"/>
      <c r="B12" s="6"/>
      <c r="C12" s="7" t="s">
        <v>0</v>
      </c>
      <c r="D12" s="6"/>
      <c r="E12" s="8"/>
      <c r="F12" s="9"/>
      <c r="G12" s="9"/>
      <c r="H12" s="6"/>
      <c r="I12" s="10"/>
      <c r="J12" s="7" t="s">
        <v>1</v>
      </c>
      <c r="K12" s="8"/>
      <c r="L12" s="6"/>
      <c r="M12" s="10"/>
      <c r="N12" s="6"/>
      <c r="O12" s="6"/>
      <c r="P12" s="7" t="s">
        <v>2</v>
      </c>
      <c r="Q12" s="11"/>
      <c r="R12" s="6"/>
      <c r="S12" s="6"/>
      <c r="T12" s="6"/>
      <c r="U12" s="6"/>
      <c r="V12" s="12" t="s">
        <v>3</v>
      </c>
      <c r="W12" s="6"/>
      <c r="X12" s="6"/>
      <c r="Y12" s="6"/>
      <c r="Z12" s="6"/>
      <c r="AA12" s="6"/>
    </row>
    <row r="13" customFormat="false" ht="12.8" hidden="false" customHeight="false" outlineLevel="0" collapsed="false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2.8" hidden="false" customHeight="false" outlineLevel="0" collapsed="false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customFormat="false" ht="12.8" hidden="false" customHeight="false" outlineLevel="0" collapsed="fals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customFormat="false" ht="12.8" hidden="false" customHeight="false" outlineLevel="0" collapsed="false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customFormat="false" ht="12.8" hidden="false" customHeight="false" outlineLevel="0" collapsed="false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customFormat="false" ht="12.8" hidden="false" customHeight="false" outlineLevel="0" collapsed="false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customFormat="false" ht="12.8" hidden="false" customHeight="false" outlineLevel="0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customFormat="false" ht="12.8" hidden="false" customHeight="false" outlineLevel="0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customFormat="false" ht="12.8" hidden="false" customHeight="false" outlineLevel="0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customFormat="false" ht="12.8" hidden="false" customHeight="false" outlineLevel="0" collapsed="false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customFormat="false" ht="12.8" hidden="false" customHeight="false" outlineLevel="0" collapsed="false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customFormat="false" ht="12.8" hidden="false" customHeight="false" outlineLevel="0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customFormat="false" ht="12.8" hidden="false" customHeight="false" outlineLevel="0" collapsed="false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customFormat="false" ht="12.8" hidden="false" customHeight="false" outlineLevel="0" collapsed="false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customFormat="false" ht="12.8" hidden="false" customHeight="false" outlineLevel="0" collapsed="false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customFormat="false" ht="12.8" hidden="false" customHeight="false" outlineLevel="0" collapsed="false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customFormat="false" ht="12.8" hidden="false" customHeight="false" outlineLevel="0" collapsed="false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customFormat="false" ht="12.8" hidden="false" customHeight="false" outlineLevel="0" collapsed="false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customFormat="false" ht="12.8" hidden="false" customHeight="false" outlineLevel="0" collapsed="false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customFormat="false" ht="12.8" hidden="false" customHeight="false" outlineLevel="0" collapsed="false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customFormat="false" ht="12.8" hidden="false" customHeight="false" outlineLevel="0" collapsed="false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customFormat="false" ht="12.8" hidden="false" customHeight="false" outlineLevel="0" collapsed="false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customFormat="false" ht="12.8" hidden="false" customHeight="false" outlineLevel="0" collapsed="false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customFormat="false" ht="12.8" hidden="false" customHeight="false" outlineLevel="0" collapsed="false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customFormat="false" ht="12.8" hidden="false" customHeight="false" outlineLevel="0" collapsed="false">
      <c r="A37" s="5"/>
      <c r="B37" s="5"/>
      <c r="C37" s="5"/>
      <c r="D37" s="5"/>
    </row>
    <row r="38" customFormat="false" ht="12.8" hidden="false" customHeight="false" outlineLevel="0" collapsed="false">
      <c r="A38" s="5"/>
      <c r="B38" s="5"/>
      <c r="C38" s="5"/>
      <c r="D38" s="5"/>
    </row>
    <row r="39" customFormat="false" ht="12.8" hidden="false" customHeight="false" outlineLevel="0" collapsed="false">
      <c r="A39" s="5"/>
      <c r="B39" s="5"/>
      <c r="C39" s="5"/>
      <c r="D39" s="5"/>
    </row>
    <row r="40" customFormat="false" ht="12.8" hidden="false" customHeight="false" outlineLevel="0" collapsed="false">
      <c r="A40" s="5"/>
      <c r="B40" s="5"/>
      <c r="C40" s="5"/>
      <c r="D40" s="5"/>
    </row>
    <row r="41" customFormat="false" ht="12.8" hidden="false" customHeight="false" outlineLevel="0" collapsed="false">
      <c r="A41" s="5"/>
      <c r="B41" s="5"/>
      <c r="C41" s="5"/>
      <c r="D41" s="5"/>
    </row>
    <row r="42" customFormat="false" ht="12.8" hidden="false" customHeight="false" outlineLevel="0" collapsed="false">
      <c r="A42" s="5"/>
      <c r="B42" s="5"/>
      <c r="C42" s="5"/>
      <c r="D42" s="5"/>
    </row>
    <row r="43" customFormat="false" ht="12.8" hidden="false" customHeight="false" outlineLevel="0" collapsed="false">
      <c r="A43" s="5"/>
      <c r="B43" s="5"/>
      <c r="C43" s="5"/>
      <c r="D43" s="5"/>
    </row>
    <row r="44" customFormat="false" ht="12.8" hidden="false" customHeight="false" outlineLevel="0" collapsed="false">
      <c r="A44" s="5"/>
      <c r="B44" s="5"/>
      <c r="C44" s="5"/>
      <c r="D44" s="5"/>
    </row>
    <row r="45" customFormat="false" ht="12.8" hidden="false" customHeight="false" outlineLevel="0" collapsed="false">
      <c r="A45" s="5"/>
      <c r="B45" s="5"/>
      <c r="C45" s="5"/>
      <c r="D4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W10"/>
  <sheetViews>
    <sheetView showFormulas="false" showGridLines="true" showRowColHeaders="true" showZeros="true" rightToLeft="false" tabSelected="false" showOutlineSymbols="true" defaultGridColor="true" view="normal" topLeftCell="G1" colorId="64" zoomScale="65" zoomScaleNormal="65" zoomScalePageLayoutView="100" workbookViewId="0">
      <selection pane="topLeft" activeCell="AA19" activeCellId="0" sqref="AA19"/>
    </sheetView>
  </sheetViews>
  <sheetFormatPr defaultColWidth="11.53515625" defaultRowHeight="12.8" zeroHeight="false" outlineLevelRow="0" outlineLevelCol="0"/>
  <cols>
    <col collapsed="false" customWidth="true" hidden="false" outlineLevel="0" max="17" min="17" style="0" width="13.24"/>
  </cols>
  <sheetData>
    <row r="4" customFormat="false" ht="12.8" hidden="false" customHeight="false" outlineLevel="0" collapsed="false">
      <c r="B4" s="0" t="s">
        <v>4</v>
      </c>
      <c r="G4" s="0" t="s">
        <v>1</v>
      </c>
      <c r="N4" s="0" t="s">
        <v>5</v>
      </c>
      <c r="T4" s="0" t="s">
        <v>3</v>
      </c>
    </row>
    <row r="5" customFormat="false" ht="12.8" hidden="false" customHeight="false" outlineLevel="0" collapsed="false">
      <c r="C5" s="0" t="s">
        <v>6</v>
      </c>
      <c r="D5" s="0" t="s">
        <v>7</v>
      </c>
      <c r="E5" s="0" t="s">
        <v>8</v>
      </c>
      <c r="H5" s="0" t="s">
        <v>6</v>
      </c>
      <c r="I5" s="0" t="s">
        <v>7</v>
      </c>
      <c r="J5" s="0" t="s">
        <v>8</v>
      </c>
      <c r="O5" s="0" t="s">
        <v>6</v>
      </c>
      <c r="P5" s="0" t="s">
        <v>7</v>
      </c>
      <c r="Q5" s="0" t="s">
        <v>8</v>
      </c>
      <c r="U5" s="0" t="s">
        <v>6</v>
      </c>
      <c r="V5" s="0" t="s">
        <v>7</v>
      </c>
      <c r="W5" s="0" t="s">
        <v>8</v>
      </c>
    </row>
    <row r="6" customFormat="false" ht="12.8" hidden="false" customHeight="false" outlineLevel="0" collapsed="false">
      <c r="B6" s="0" t="s">
        <v>9</v>
      </c>
      <c r="C6" s="13" t="n">
        <v>35</v>
      </c>
      <c r="D6" s="0" t="n">
        <v>37</v>
      </c>
      <c r="E6" s="13" t="n">
        <f aca="false">PRODUCT(C6,D6)</f>
        <v>1295</v>
      </c>
      <c r="G6" s="0" t="s">
        <v>10</v>
      </c>
      <c r="H6" s="13" t="n">
        <v>250</v>
      </c>
      <c r="I6" s="0" t="n">
        <v>8</v>
      </c>
      <c r="J6" s="13" t="n">
        <f aca="false">PRODUCT(H6,I6)</f>
        <v>2000</v>
      </c>
      <c r="N6" s="0" t="s">
        <v>11</v>
      </c>
      <c r="O6" s="13" t="n">
        <v>160</v>
      </c>
      <c r="P6" s="0" t="n">
        <v>16</v>
      </c>
      <c r="Q6" s="13" t="n">
        <f aca="false">PRODUCT(O6,P6)</f>
        <v>2560</v>
      </c>
      <c r="T6" s="0" t="s">
        <v>12</v>
      </c>
      <c r="U6" s="13" t="n">
        <v>60</v>
      </c>
      <c r="V6" s="0" t="n">
        <v>32</v>
      </c>
      <c r="W6" s="13" t="n">
        <f aca="false">PRODUCT(U6,V6)</f>
        <v>1920</v>
      </c>
    </row>
    <row r="7" customFormat="false" ht="12.8" hidden="false" customHeight="false" outlineLevel="0" collapsed="false">
      <c r="B7" s="0" t="s">
        <v>13</v>
      </c>
      <c r="C7" s="13" t="n">
        <v>175</v>
      </c>
      <c r="D7" s="0" t="n">
        <v>15</v>
      </c>
      <c r="E7" s="13" t="n">
        <f aca="false">PRODUCT(C7,D7)</f>
        <v>2625</v>
      </c>
      <c r="G7" s="0" t="s">
        <v>14</v>
      </c>
      <c r="H7" s="13" t="n">
        <v>90</v>
      </c>
      <c r="I7" s="0" t="n">
        <v>16</v>
      </c>
      <c r="J7" s="13" t="n">
        <f aca="false">PRODUCT(H7,I7)</f>
        <v>1440</v>
      </c>
      <c r="N7" s="0" t="s">
        <v>15</v>
      </c>
      <c r="O7" s="13" t="n">
        <v>100</v>
      </c>
      <c r="P7" s="0" t="n">
        <v>16</v>
      </c>
      <c r="Q7" s="13" t="n">
        <f aca="false">PRODUCT(O7,P7)</f>
        <v>1600</v>
      </c>
      <c r="T7" s="0" t="s">
        <v>16</v>
      </c>
      <c r="U7" s="13" t="n">
        <v>70</v>
      </c>
      <c r="V7" s="0" t="n">
        <v>16</v>
      </c>
      <c r="W7" s="13" t="n">
        <f aca="false">PRODUCT(U7,V7)</f>
        <v>1120</v>
      </c>
    </row>
    <row r="8" customFormat="false" ht="12.8" hidden="false" customHeight="false" outlineLevel="0" collapsed="false">
      <c r="B8" s="0" t="s">
        <v>17</v>
      </c>
      <c r="C8" s="13" t="n">
        <v>110</v>
      </c>
      <c r="D8" s="0" t="n">
        <v>17</v>
      </c>
      <c r="E8" s="13" t="n">
        <f aca="false">PRODUCT(C8,D8)</f>
        <v>1870</v>
      </c>
      <c r="G8" s="0" t="s">
        <v>18</v>
      </c>
      <c r="H8" s="13" t="n">
        <v>25</v>
      </c>
      <c r="I8" s="0" t="n">
        <v>8</v>
      </c>
      <c r="J8" s="13" t="n">
        <f aca="false">PRODUCT(H8,I8)</f>
        <v>200</v>
      </c>
      <c r="N8" s="0" t="s">
        <v>19</v>
      </c>
      <c r="O8" s="13" t="n">
        <v>80</v>
      </c>
      <c r="P8" s="0" t="n">
        <v>32</v>
      </c>
      <c r="Q8" s="13" t="n">
        <f aca="false">PRODUCT(O8,P8)</f>
        <v>2560</v>
      </c>
      <c r="T8" s="0" t="s">
        <v>20</v>
      </c>
      <c r="U8" s="13" t="n">
        <v>150</v>
      </c>
      <c r="V8" s="0" t="n">
        <v>16</v>
      </c>
      <c r="W8" s="13" t="n">
        <f aca="false">PRODUCT(U8,V8)</f>
        <v>2400</v>
      </c>
    </row>
    <row r="9" customFormat="false" ht="12.8" hidden="false" customHeight="false" outlineLevel="0" collapsed="false">
      <c r="B9" s="0" t="s">
        <v>21</v>
      </c>
      <c r="C9" s="13" t="n">
        <v>80</v>
      </c>
      <c r="D9" s="0" t="n">
        <v>16</v>
      </c>
      <c r="E9" s="13" t="n">
        <f aca="false">PRODUCT(C9,D9)</f>
        <v>1280</v>
      </c>
      <c r="G9" s="0" t="s">
        <v>22</v>
      </c>
      <c r="H9" s="13" t="n">
        <v>80</v>
      </c>
      <c r="I9" s="0" t="n">
        <v>40</v>
      </c>
      <c r="J9" s="13" t="n">
        <f aca="false">PRODUCT(H9,I9)</f>
        <v>3200</v>
      </c>
      <c r="N9" s="0" t="s">
        <v>23</v>
      </c>
      <c r="O9" s="13" t="n">
        <v>320</v>
      </c>
      <c r="P9" s="0" t="n">
        <v>32</v>
      </c>
      <c r="Q9" s="13" t="n">
        <f aca="false">PRODUCT(O9,P9)</f>
        <v>10240</v>
      </c>
      <c r="T9" s="0" t="s">
        <v>24</v>
      </c>
      <c r="U9" s="13" t="n">
        <v>100</v>
      </c>
      <c r="V9" s="0" t="n">
        <v>16</v>
      </c>
      <c r="W9" s="13" t="n">
        <f aca="false">PRODUCT(U9,V9)</f>
        <v>1600</v>
      </c>
    </row>
    <row r="10" customFormat="false" ht="12.8" hidden="false" customHeight="false" outlineLevel="0" collapsed="false">
      <c r="B10" s="0" t="s">
        <v>25</v>
      </c>
      <c r="C10" s="13" t="n">
        <v>35</v>
      </c>
      <c r="D10" s="0" t="n">
        <v>27</v>
      </c>
      <c r="E10" s="13" t="n">
        <f aca="false">PRODUCT(C10,D10)</f>
        <v>945</v>
      </c>
      <c r="G10" s="0" t="s">
        <v>26</v>
      </c>
      <c r="H10" s="13" t="n">
        <v>260</v>
      </c>
      <c r="I10" s="0" t="n">
        <v>8</v>
      </c>
      <c r="J10" s="13" t="n">
        <f aca="false">PRODUCT(H10,I10)</f>
        <v>2080</v>
      </c>
      <c r="N10" s="0" t="s">
        <v>27</v>
      </c>
      <c r="O10" s="13" t="n">
        <v>160</v>
      </c>
      <c r="P10" s="0" t="n">
        <v>16</v>
      </c>
      <c r="Q10" s="13" t="n">
        <f aca="false">PRODUCT(O10,P10)</f>
        <v>2560</v>
      </c>
      <c r="T10" s="0" t="s">
        <v>28</v>
      </c>
      <c r="U10" s="13" t="n">
        <v>80</v>
      </c>
      <c r="V10" s="0" t="n">
        <v>8</v>
      </c>
      <c r="W10" s="13" t="n">
        <f aca="false">PRODUCT(U10,V10)</f>
        <v>640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4" t="s">
        <v>4</v>
      </c>
      <c r="B1" s="15" t="s">
        <v>29</v>
      </c>
      <c r="C1" s="15" t="s">
        <v>30</v>
      </c>
      <c r="D1" s="15" t="s">
        <v>31</v>
      </c>
      <c r="E1" s="16" t="s">
        <v>32</v>
      </c>
    </row>
    <row r="2" customFormat="false" ht="12.8" hidden="false" customHeight="false" outlineLevel="0" collapsed="false">
      <c r="A2" s="17" t="s">
        <v>21</v>
      </c>
      <c r="B2" s="18" t="n">
        <v>80</v>
      </c>
      <c r="C2" s="19" t="n">
        <v>16</v>
      </c>
      <c r="D2" s="18" t="n">
        <v>1280</v>
      </c>
      <c r="E2" s="20"/>
    </row>
    <row r="3" customFormat="false" ht="12.8" hidden="false" customHeight="false" outlineLevel="0" collapsed="false">
      <c r="A3" s="17" t="s">
        <v>25</v>
      </c>
      <c r="B3" s="18" t="n">
        <v>35</v>
      </c>
      <c r="C3" s="19" t="n">
        <v>27</v>
      </c>
      <c r="D3" s="18" t="n">
        <v>945</v>
      </c>
      <c r="E3" s="20"/>
    </row>
    <row r="4" customFormat="false" ht="12.8" hidden="false" customHeight="false" outlineLevel="0" collapsed="false">
      <c r="A4" s="17" t="s">
        <v>9</v>
      </c>
      <c r="B4" s="18" t="n">
        <v>35</v>
      </c>
      <c r="C4" s="19" t="n">
        <v>37</v>
      </c>
      <c r="D4" s="18" t="n">
        <v>1295</v>
      </c>
      <c r="E4" s="20"/>
    </row>
    <row r="5" customFormat="false" ht="12.8" hidden="false" customHeight="false" outlineLevel="0" collapsed="false">
      <c r="A5" s="17" t="s">
        <v>17</v>
      </c>
      <c r="B5" s="18" t="n">
        <v>110</v>
      </c>
      <c r="C5" s="19" t="n">
        <v>17</v>
      </c>
      <c r="D5" s="18" t="n">
        <v>1870</v>
      </c>
      <c r="E5" s="20"/>
    </row>
    <row r="6" customFormat="false" ht="12.8" hidden="false" customHeight="false" outlineLevel="0" collapsed="false">
      <c r="A6" s="17" t="s">
        <v>13</v>
      </c>
      <c r="B6" s="18" t="n">
        <v>175</v>
      </c>
      <c r="C6" s="19" t="n">
        <v>15</v>
      </c>
      <c r="D6" s="18" t="n">
        <v>2625</v>
      </c>
      <c r="E6" s="20"/>
    </row>
    <row r="7" customFormat="false" ht="12.8" hidden="false" customHeight="false" outlineLevel="0" collapsed="false">
      <c r="A7" s="17" t="s">
        <v>32</v>
      </c>
      <c r="B7" s="18" t="s">
        <v>6</v>
      </c>
      <c r="C7" s="19" t="s">
        <v>7</v>
      </c>
      <c r="D7" s="18" t="s">
        <v>8</v>
      </c>
      <c r="E7" s="20"/>
    </row>
    <row r="8" customFormat="false" ht="12.8" hidden="false" customHeight="false" outlineLevel="0" collapsed="false">
      <c r="A8" s="21" t="s">
        <v>33</v>
      </c>
      <c r="B8" s="22"/>
      <c r="C8" s="23"/>
      <c r="D8" s="24"/>
      <c r="E8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B1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3" activeCellId="0" sqref="B13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B3" s="0" t="s">
        <v>34</v>
      </c>
    </row>
    <row r="5" customFormat="false" ht="12.8" hidden="false" customHeight="false" outlineLevel="0" collapsed="false">
      <c r="B5" s="26"/>
    </row>
    <row r="7" customFormat="false" ht="12.8" hidden="false" customHeight="false" outlineLevel="0" collapsed="false">
      <c r="B7" s="1"/>
    </row>
    <row r="9" customFormat="false" ht="12.8" hidden="false" customHeight="false" outlineLevel="0" collapsed="false">
      <c r="B9" s="27"/>
    </row>
    <row r="11" customFormat="false" ht="12.8" hidden="false" customHeight="false" outlineLevel="0" collapsed="false">
      <c r="B11" s="28"/>
    </row>
    <row r="13" customFormat="false" ht="12.8" hidden="false" customHeight="false" outlineLevel="0" collapsed="false">
      <c r="B1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2026-02-13T19:59:51Z</dcterms:created>
  <dc:creator/>
  <dc:description/>
  <dc:language>pt-BR</dc:language>
  <cp:lastModifiedBy/>
  <dcterms:modified xsi:type="dcterms:W3CDTF">2026-02-13T21:42:49Z</dcterms:modified>
  <cp:revision>4</cp:revision>
  <dc:subject/>
  <dc:title/>
</cp:coreProperties>
</file>